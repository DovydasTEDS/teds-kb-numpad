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les\Projects\teds-kb-numpad\"/>
    </mc:Choice>
  </mc:AlternateContent>
  <xr:revisionPtr revIDLastSave="0" documentId="8_{81B556EC-9879-4B53-8703-226596E69414}" xr6:coauthVersionLast="47" xr6:coauthVersionMax="47" xr10:uidLastSave="{00000000-0000-0000-0000-000000000000}"/>
  <bookViews>
    <workbookView xWindow="-120" yWindow="-120" windowWidth="29040" windowHeight="15720" xr2:uid="{518A2806-4974-4084-9842-698CCC5A2234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 s="1"/>
  <c r="G4" i="1" s="1"/>
  <c r="G5" i="1" s="1"/>
  <c r="G6" i="1" s="1"/>
  <c r="F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  <c r="G7" i="1" l="1"/>
  <c r="G8" i="1" s="1"/>
  <c r="G9" i="1" s="1"/>
  <c r="G10" i="1" s="1"/>
  <c r="G11" i="1" s="1"/>
  <c r="G12" i="1"/>
  <c r="G13" i="1" s="1"/>
  <c r="G14" i="1" s="1"/>
  <c r="G15" i="1" s="1"/>
  <c r="G16" i="1" s="1"/>
  <c r="G17" i="1" s="1"/>
  <c r="G18" i="1" s="1"/>
</calcChain>
</file>

<file path=xl/sharedStrings.xml><?xml version="1.0" encoding="utf-8"?>
<sst xmlns="http://schemas.openxmlformats.org/spreadsheetml/2006/main" count="43" uniqueCount="39">
  <si>
    <t>Item</t>
  </si>
  <si>
    <t>Link</t>
  </si>
  <si>
    <t>LCSC Part No.</t>
  </si>
  <si>
    <t>Price</t>
  </si>
  <si>
    <t>Units</t>
  </si>
  <si>
    <t>Total Price</t>
  </si>
  <si>
    <t>AliExpress</t>
  </si>
  <si>
    <t>https://www.aliexpress.com/item/1005008233414789.html</t>
  </si>
  <si>
    <t>Xiao RP2040</t>
  </si>
  <si>
    <t>Hotswap Socket</t>
  </si>
  <si>
    <t>https://www.aliexpress.com/item/1005007232040760.html</t>
  </si>
  <si>
    <t>Switches</t>
  </si>
  <si>
    <t>https://www.aliexpress.com/item/1005005930656897.html</t>
  </si>
  <si>
    <t>Running Total</t>
  </si>
  <si>
    <t>PCB</t>
  </si>
  <si>
    <t>LCSC</t>
  </si>
  <si>
    <t>C5149201</t>
  </si>
  <si>
    <t>SK6812MINI-E</t>
  </si>
  <si>
    <t>Already Owned</t>
  </si>
  <si>
    <t>SN74LV1T125DBVR</t>
  </si>
  <si>
    <t>C473338</t>
  </si>
  <si>
    <t>1N4148W</t>
  </si>
  <si>
    <t>C917030</t>
  </si>
  <si>
    <t>0805W8F3300T5E</t>
  </si>
  <si>
    <t>330 Resistor (Already Owned)</t>
  </si>
  <si>
    <t>C17630</t>
  </si>
  <si>
    <t>Stabilisers</t>
  </si>
  <si>
    <t>https://www.aliexpress.com/item/1005006528731543.html</t>
  </si>
  <si>
    <t>Notes</t>
  </si>
  <si>
    <t>https://www.aliexpress.com/item/1005009162201589.html</t>
  </si>
  <si>
    <t>Keycaps</t>
  </si>
  <si>
    <t>Case</t>
  </si>
  <si>
    <t>Self 3d Printed</t>
  </si>
  <si>
    <t>Total:</t>
  </si>
  <si>
    <t>M3 8m Screw</t>
  </si>
  <si>
    <t>https://www.aliexpress.com/item/1005007264845313.html</t>
  </si>
  <si>
    <t>M3 Heatset OD4.2</t>
  </si>
  <si>
    <t>https://www.aliexpress.com/item/1005003582355741.html</t>
  </si>
  <si>
    <t>Specific No. Neded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</si>
</sst>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liexpress.com/item/1005005930656897.html" TargetMode="External"/><Relationship Id="rId7" Type="http://schemas.openxmlformats.org/officeDocument/2006/relationships/hyperlink" Target="https://www.aliexpress.com/item/1005003582355741.html" TargetMode="External"/><Relationship Id="rId2" Type="http://schemas.openxmlformats.org/officeDocument/2006/relationships/hyperlink" Target="https://www.aliexpress.com/item/1005008233414789.html" TargetMode="External"/><Relationship Id="rId1" Type="http://schemas.openxmlformats.org/officeDocument/2006/relationships/hyperlink" Target="https://www.aliexpress.com/item/1005007232040760.html" TargetMode="External"/><Relationship Id="rId6" Type="http://schemas.openxmlformats.org/officeDocument/2006/relationships/hyperlink" Target="https://www.aliexpress.com/item/1005007264845313.html" TargetMode="External"/><Relationship Id="rId5" Type="http://schemas.openxmlformats.org/officeDocument/2006/relationships/hyperlink" Target="https://www.aliexpress.com/item/1005009162201589.html" TargetMode="External"/><Relationship Id="rId4" Type="http://schemas.openxmlformats.org/officeDocument/2006/relationships/hyperlink" Target="https://www.aliexpress.com/item/100500652873154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817D-46FA-43C8-BAEB-18DD81534E65}">
  <dimension ref="A1:K18"/>
  <sheetViews>
    <sheetView tabSelected="1" workbookViewId="0">
      <selection activeCell="H27" sqref="H27"/>
    </sheetView>
  </sheetViews>
  <sheetFormatPr defaultRowHeight="15" x14ac:dyDescent="0.25"/>
  <cols>
    <col min="1" max="1" width="18.85546875" customWidth="1"/>
    <col min="2" max="2" width="31.140625" customWidth="1"/>
    <col min="3" max="3" width="14.5703125" customWidth="1"/>
    <col min="6" max="6" width="10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I1" t="s">
        <v>28</v>
      </c>
      <c r="K1" t="s">
        <v>38</v>
      </c>
    </row>
    <row r="2" spans="1:11" x14ac:dyDescent="0.25">
      <c r="A2" t="s">
        <v>14</v>
      </c>
      <c r="D2">
        <v>12</v>
      </c>
      <c r="E2">
        <v>1</v>
      </c>
      <c r="F2">
        <f t="shared" ref="F2:F3" si="0">D2*E2</f>
        <v>12</v>
      </c>
      <c r="G2">
        <f>F2</f>
        <v>12</v>
      </c>
      <c r="K2">
        <v>1</v>
      </c>
    </row>
    <row r="3" spans="1:11" x14ac:dyDescent="0.25">
      <c r="A3" t="s">
        <v>6</v>
      </c>
      <c r="G3">
        <f>G2+F3</f>
        <v>12</v>
      </c>
    </row>
    <row r="4" spans="1:11" x14ac:dyDescent="0.25">
      <c r="A4" t="s">
        <v>8</v>
      </c>
      <c r="B4" s="1" t="s">
        <v>7</v>
      </c>
      <c r="D4">
        <v>8.61</v>
      </c>
      <c r="E4">
        <v>1</v>
      </c>
      <c r="F4">
        <f>D4*E4</f>
        <v>8.61</v>
      </c>
      <c r="G4">
        <f t="shared" ref="G4:G18" si="1">G3+F4</f>
        <v>20.61</v>
      </c>
      <c r="K4">
        <v>1</v>
      </c>
    </row>
    <row r="5" spans="1:11" x14ac:dyDescent="0.25">
      <c r="A5" t="s">
        <v>9</v>
      </c>
      <c r="B5" s="1" t="s">
        <v>10</v>
      </c>
      <c r="D5">
        <v>2.11</v>
      </c>
      <c r="E5">
        <v>1</v>
      </c>
      <c r="F5">
        <f t="shared" ref="F5:F18" si="2">D5*E5</f>
        <v>2.11</v>
      </c>
      <c r="G5">
        <f t="shared" si="1"/>
        <v>22.72</v>
      </c>
      <c r="K5">
        <v>17</v>
      </c>
    </row>
    <row r="6" spans="1:11" x14ac:dyDescent="0.25">
      <c r="A6" t="s">
        <v>11</v>
      </c>
      <c r="B6" s="1" t="s">
        <v>12</v>
      </c>
      <c r="D6">
        <v>15.41</v>
      </c>
      <c r="E6">
        <v>1</v>
      </c>
      <c r="F6">
        <f t="shared" si="2"/>
        <v>15.41</v>
      </c>
      <c r="G6">
        <f t="shared" si="1"/>
        <v>38.129999999999995</v>
      </c>
      <c r="K6">
        <v>17</v>
      </c>
    </row>
    <row r="7" spans="1:11" x14ac:dyDescent="0.25">
      <c r="A7" t="s">
        <v>26</v>
      </c>
      <c r="B7" s="1" t="s">
        <v>27</v>
      </c>
      <c r="D7">
        <v>0</v>
      </c>
      <c r="E7">
        <v>1</v>
      </c>
      <c r="F7">
        <f t="shared" si="2"/>
        <v>0</v>
      </c>
      <c r="G7">
        <f t="shared" si="1"/>
        <v>38.129999999999995</v>
      </c>
      <c r="I7" t="s">
        <v>18</v>
      </c>
      <c r="K7">
        <v>3</v>
      </c>
    </row>
    <row r="8" spans="1:11" x14ac:dyDescent="0.25">
      <c r="A8" t="s">
        <v>30</v>
      </c>
      <c r="B8" s="1" t="s">
        <v>29</v>
      </c>
      <c r="D8">
        <v>10.34</v>
      </c>
      <c r="E8">
        <v>1</v>
      </c>
      <c r="F8">
        <f t="shared" si="2"/>
        <v>10.34</v>
      </c>
      <c r="G8">
        <f t="shared" si="1"/>
        <v>48.47</v>
      </c>
      <c r="K8">
        <v>17</v>
      </c>
    </row>
    <row r="9" spans="1:11" x14ac:dyDescent="0.25">
      <c r="A9" t="s">
        <v>34</v>
      </c>
      <c r="B9" s="1" t="s">
        <v>35</v>
      </c>
      <c r="D9">
        <v>0.81</v>
      </c>
      <c r="E9">
        <v>1</v>
      </c>
      <c r="F9">
        <f t="shared" si="2"/>
        <v>0.81</v>
      </c>
      <c r="G9">
        <f t="shared" si="1"/>
        <v>49.28</v>
      </c>
      <c r="K9">
        <v>12</v>
      </c>
    </row>
    <row r="10" spans="1:11" x14ac:dyDescent="0.25">
      <c r="A10" t="s">
        <v>36</v>
      </c>
      <c r="B10" s="1" t="s">
        <v>37</v>
      </c>
      <c r="D10">
        <v>0</v>
      </c>
      <c r="E10">
        <v>1</v>
      </c>
      <c r="F10">
        <f t="shared" si="2"/>
        <v>0</v>
      </c>
      <c r="G10">
        <f t="shared" si="1"/>
        <v>49.28</v>
      </c>
      <c r="I10" t="s">
        <v>18</v>
      </c>
      <c r="K10">
        <v>12</v>
      </c>
    </row>
    <row r="11" spans="1:11" x14ac:dyDescent="0.25">
      <c r="A11" t="s">
        <v>15</v>
      </c>
      <c r="F11">
        <f t="shared" si="2"/>
        <v>0</v>
      </c>
      <c r="G11">
        <f t="shared" si="1"/>
        <v>49.28</v>
      </c>
    </row>
    <row r="12" spans="1:11" x14ac:dyDescent="0.25">
      <c r="A12" t="s">
        <v>17</v>
      </c>
      <c r="B12" t="s">
        <v>18</v>
      </c>
      <c r="C12" t="s">
        <v>16</v>
      </c>
      <c r="D12">
        <v>0</v>
      </c>
      <c r="E12">
        <v>17</v>
      </c>
      <c r="F12">
        <f t="shared" si="2"/>
        <v>0</v>
      </c>
      <c r="G12">
        <f t="shared" si="1"/>
        <v>49.28</v>
      </c>
      <c r="K12">
        <v>17</v>
      </c>
    </row>
    <row r="13" spans="1:11" x14ac:dyDescent="0.25">
      <c r="A13" t="s">
        <v>19</v>
      </c>
      <c r="B13" t="s">
        <v>18</v>
      </c>
      <c r="C13" t="s">
        <v>20</v>
      </c>
      <c r="D13">
        <v>0</v>
      </c>
      <c r="E13">
        <v>1</v>
      </c>
      <c r="F13">
        <f t="shared" si="2"/>
        <v>0</v>
      </c>
      <c r="G13">
        <f t="shared" si="1"/>
        <v>49.28</v>
      </c>
      <c r="K13">
        <v>1</v>
      </c>
    </row>
    <row r="14" spans="1:11" x14ac:dyDescent="0.25">
      <c r="A14" t="s">
        <v>21</v>
      </c>
      <c r="B14" t="s">
        <v>18</v>
      </c>
      <c r="C14" t="s">
        <v>22</v>
      </c>
      <c r="D14">
        <v>0</v>
      </c>
      <c r="E14">
        <v>17</v>
      </c>
      <c r="F14">
        <f t="shared" si="2"/>
        <v>0</v>
      </c>
      <c r="G14">
        <f t="shared" si="1"/>
        <v>49.28</v>
      </c>
      <c r="K14">
        <v>17</v>
      </c>
    </row>
    <row r="15" spans="1:11" x14ac:dyDescent="0.25">
      <c r="A15" t="s">
        <v>23</v>
      </c>
      <c r="B15" t="s">
        <v>24</v>
      </c>
      <c r="C15" t="s">
        <v>25</v>
      </c>
      <c r="D15">
        <v>0</v>
      </c>
      <c r="E15">
        <v>1</v>
      </c>
      <c r="F15">
        <f t="shared" si="2"/>
        <v>0</v>
      </c>
      <c r="G15">
        <f t="shared" si="1"/>
        <v>49.28</v>
      </c>
      <c r="K15">
        <v>1</v>
      </c>
    </row>
    <row r="16" spans="1:11" x14ac:dyDescent="0.25">
      <c r="F16">
        <f t="shared" si="2"/>
        <v>0</v>
      </c>
      <c r="G16">
        <f t="shared" si="1"/>
        <v>49.28</v>
      </c>
    </row>
    <row r="17" spans="1:11" x14ac:dyDescent="0.25">
      <c r="A17" t="s">
        <v>31</v>
      </c>
      <c r="B17" t="s">
        <v>32</v>
      </c>
      <c r="D17">
        <v>0</v>
      </c>
      <c r="E17">
        <v>1</v>
      </c>
      <c r="F17">
        <f t="shared" si="2"/>
        <v>0</v>
      </c>
      <c r="G17">
        <f t="shared" si="1"/>
        <v>49.28</v>
      </c>
      <c r="K17">
        <v>1</v>
      </c>
    </row>
    <row r="18" spans="1:11" x14ac:dyDescent="0.25">
      <c r="F18" t="s">
        <v>33</v>
      </c>
      <c r="G18">
        <f>G17</f>
        <v>49.28</v>
      </c>
    </row>
  </sheetData>
  <hyperlinks>
    <hyperlink ref="B5" r:id="rId1" xr:uid="{BD150F07-9F9C-4D1F-87F1-9C8E278262C2}"/>
    <hyperlink ref="B4" r:id="rId2" xr:uid="{5F35F4FD-2704-4223-B46A-13EC0FBC4A21}"/>
    <hyperlink ref="B6" r:id="rId3" xr:uid="{35ABED51-F5DF-478D-9A9B-AA70D65BB00D}"/>
    <hyperlink ref="B7" r:id="rId4" xr:uid="{3D255789-BF4C-44DD-B7F4-2F05B5C49D44}"/>
    <hyperlink ref="B8" r:id="rId5" xr:uid="{406428CC-5665-44C2-B463-AEFC617FB408}"/>
    <hyperlink ref="B9" r:id="rId6" xr:uid="{D7266B5F-D802-4EA9-B25F-D7D0E5C7F60A}"/>
    <hyperlink ref="B10" r:id="rId7" xr:uid="{6FC84E83-36E5-4874-8AF0-32041ED99EE5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</dc:creator>
  <cp:lastModifiedBy>Dov</cp:lastModifiedBy>
  <dcterms:created xsi:type="dcterms:W3CDTF">2026-08-19T09:00:40Z</dcterms:created>
  <dcterms:modified xsi:type="dcterms:W3CDTF">2026-08-19T09:37:35Z</dcterms:modified>
</cp:coreProperties>
</file>